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stransformers-my.sharepoint.com/personal/rafael_leal_cestransformers_com/Documents/Documents/YorkMetal/"/>
    </mc:Choice>
  </mc:AlternateContent>
  <xr:revisionPtr revIDLastSave="161" documentId="8_{8FDF5B94-7E12-4008-A69E-AFE6D0B0B445}" xr6:coauthVersionLast="47" xr6:coauthVersionMax="47" xr10:uidLastSave="{A185CB5F-FAAC-4A2C-97D1-7E2FE37D706B}"/>
  <bookViews>
    <workbookView xWindow="57480" yWindow="-120" windowWidth="29040" windowHeight="15720" xr2:uid="{0F1A901C-25A3-4D00-8E36-F5BC0DE8299F}"/>
  </bookViews>
  <sheets>
    <sheet name="RecipeTank" sheetId="2" r:id="rId1"/>
    <sheet name="RecipeLid" sheetId="4" r:id="rId2"/>
    <sheet name="RecipeBase" sheetId="5" r:id="rId3"/>
    <sheet name="SKU" sheetId="1" r:id="rId4"/>
    <sheet name="Schedule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" l="1"/>
  <c r="C4" i="4"/>
  <c r="C4" i="2"/>
  <c r="I4" i="2"/>
  <c r="C3" i="5"/>
  <c r="C2" i="5"/>
  <c r="C3" i="4"/>
  <c r="C2" i="4"/>
  <c r="I3" i="2"/>
  <c r="C3" i="2"/>
  <c r="C2" i="2"/>
  <c r="I2" i="2" l="1"/>
</calcChain>
</file>

<file path=xl/sharedStrings.xml><?xml version="1.0" encoding="utf-8"?>
<sst xmlns="http://schemas.openxmlformats.org/spreadsheetml/2006/main" count="52" uniqueCount="24">
  <si>
    <t>SKU</t>
  </si>
  <si>
    <t>Pole19</t>
  </si>
  <si>
    <t>RecipeNumber</t>
  </si>
  <si>
    <t>Laser</t>
  </si>
  <si>
    <t>RollForm</t>
  </si>
  <si>
    <t>SeamWeld</t>
  </si>
  <si>
    <t>Emboss</t>
  </si>
  <si>
    <t>Flanger</t>
  </si>
  <si>
    <t>RobotWeld</t>
  </si>
  <si>
    <t>FinalInspection</t>
  </si>
  <si>
    <t>PartNumber</t>
  </si>
  <si>
    <t>Qty</t>
  </si>
  <si>
    <t>C-1000</t>
  </si>
  <si>
    <t>C-2000</t>
  </si>
  <si>
    <t>Pole21</t>
  </si>
  <si>
    <t>RecipeTank</t>
  </si>
  <si>
    <t>RecipeLid</t>
  </si>
  <si>
    <t>RecipeBase</t>
  </si>
  <si>
    <t>ComponentName</t>
  </si>
  <si>
    <t>Tank</t>
  </si>
  <si>
    <t>Lid</t>
  </si>
  <si>
    <t>Base</t>
  </si>
  <si>
    <t>Pole24</t>
  </si>
  <si>
    <t>C-3000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</si>
</sst>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A26E8-91C3-4A7A-ADDD-FC5A68162076}">
  <dimension ref="A1:I4"/>
  <sheetViews>
    <sheetView tabSelected="1" workbookViewId="0">
      <selection activeCell="N14" sqref="N14"/>
    </sheetView>
  </sheetViews>
  <sheetFormatPr defaultRowHeight="14.4" x14ac:dyDescent="0.3"/>
  <cols>
    <col min="1" max="2" width="8.88671875" style="1"/>
  </cols>
  <sheetData>
    <row r="1" spans="1:9" x14ac:dyDescent="0.3">
      <c r="A1" s="1" t="s">
        <v>2</v>
      </c>
      <c r="B1" s="1" t="s">
        <v>18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s="1">
        <v>1</v>
      </c>
      <c r="B2" s="1" t="s">
        <v>19</v>
      </c>
      <c r="C2">
        <f>4+((283/2)/60)</f>
        <v>6.3583333333333334</v>
      </c>
      <c r="D2">
        <v>6</v>
      </c>
      <c r="E2">
        <v>7</v>
      </c>
      <c r="F2">
        <v>7</v>
      </c>
      <c r="G2">
        <v>9</v>
      </c>
      <c r="H2">
        <v>22</v>
      </c>
      <c r="I2">
        <f>1440/20</f>
        <v>72</v>
      </c>
    </row>
    <row r="3" spans="1:9" x14ac:dyDescent="0.3">
      <c r="A3" s="1">
        <v>4</v>
      </c>
      <c r="B3" s="1" t="s">
        <v>19</v>
      </c>
      <c r="C3">
        <f>4+((380/2)/60)</f>
        <v>7.1666666666666661</v>
      </c>
      <c r="D3">
        <v>6</v>
      </c>
      <c r="E3">
        <v>7</v>
      </c>
      <c r="F3">
        <v>7</v>
      </c>
      <c r="G3">
        <v>9</v>
      </c>
      <c r="H3">
        <v>22</v>
      </c>
      <c r="I3">
        <f>1440/20</f>
        <v>72</v>
      </c>
    </row>
    <row r="4" spans="1:9" x14ac:dyDescent="0.3">
      <c r="A4" s="1">
        <v>7</v>
      </c>
      <c r="B4" s="1" t="s">
        <v>19</v>
      </c>
      <c r="C4">
        <f>4+((336/2+3305/2*2/85)/60)</f>
        <v>7.4480392156862738</v>
      </c>
      <c r="D4">
        <v>6</v>
      </c>
      <c r="E4">
        <v>7</v>
      </c>
      <c r="F4">
        <v>7</v>
      </c>
      <c r="G4">
        <v>9</v>
      </c>
      <c r="H4">
        <v>22</v>
      </c>
      <c r="I4">
        <f>1440/20</f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D2EE3-C1A4-4530-A5E0-9A3CFF804D55}">
  <dimension ref="A1:I4"/>
  <sheetViews>
    <sheetView workbookViewId="0">
      <selection activeCell="A2" sqref="A2:C4"/>
    </sheetView>
  </sheetViews>
  <sheetFormatPr defaultRowHeight="14.4" x14ac:dyDescent="0.3"/>
  <cols>
    <col min="1" max="2" width="8.88671875" style="1"/>
  </cols>
  <sheetData>
    <row r="1" spans="1:9" x14ac:dyDescent="0.3">
      <c r="A1" s="1" t="s">
        <v>2</v>
      </c>
      <c r="B1" s="1" t="s">
        <v>18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s="1">
        <v>2</v>
      </c>
      <c r="B2" s="1" t="s">
        <v>20</v>
      </c>
      <c r="C2">
        <f>4+(202/60)</f>
        <v>7.3666666666666671</v>
      </c>
    </row>
    <row r="3" spans="1:9" x14ac:dyDescent="0.3">
      <c r="A3" s="1">
        <v>5</v>
      </c>
      <c r="B3" s="1" t="s">
        <v>20</v>
      </c>
      <c r="C3">
        <f>4+(1897/8/60)</f>
        <v>7.9520833333333334</v>
      </c>
    </row>
    <row r="4" spans="1:9" x14ac:dyDescent="0.3">
      <c r="A4" s="1">
        <v>8</v>
      </c>
      <c r="B4" s="1" t="s">
        <v>20</v>
      </c>
      <c r="C4">
        <f>4+(3305/2/8/60)</f>
        <v>7.4427083333333339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CDEC-9DF3-47FC-94C3-652F5A3434F1}">
  <dimension ref="A1:I4"/>
  <sheetViews>
    <sheetView workbookViewId="0">
      <selection activeCell="A2" sqref="A2:C4"/>
    </sheetView>
  </sheetViews>
  <sheetFormatPr defaultRowHeight="14.4" x14ac:dyDescent="0.3"/>
  <cols>
    <col min="1" max="2" width="8.88671875" style="1"/>
  </cols>
  <sheetData>
    <row r="1" spans="1:9" x14ac:dyDescent="0.3">
      <c r="A1" s="1" t="s">
        <v>2</v>
      </c>
      <c r="B1" s="1" t="s">
        <v>18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s="1">
        <v>3</v>
      </c>
      <c r="B2" s="1" t="s">
        <v>21</v>
      </c>
      <c r="C2">
        <f>4+(283/2/60)</f>
        <v>6.3583333333333334</v>
      </c>
    </row>
    <row r="3" spans="1:9" x14ac:dyDescent="0.3">
      <c r="A3" s="1">
        <v>6</v>
      </c>
      <c r="B3" s="1" t="s">
        <v>21</v>
      </c>
      <c r="C3">
        <f>4+(379/8/60)</f>
        <v>4.7895833333333329</v>
      </c>
    </row>
    <row r="4" spans="1:9" x14ac:dyDescent="0.3">
      <c r="A4" s="1">
        <v>9</v>
      </c>
      <c r="B4" s="1" t="s">
        <v>21</v>
      </c>
      <c r="C4">
        <f>4+(336/2/2/60)</f>
        <v>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1F2FF-DDE5-4BBE-B1B9-587274731072}">
  <dimension ref="A1:D4"/>
  <sheetViews>
    <sheetView workbookViewId="0">
      <selection activeCell="A4" sqref="A4"/>
    </sheetView>
  </sheetViews>
  <sheetFormatPr defaultRowHeight="14.4" x14ac:dyDescent="0.3"/>
  <cols>
    <col min="2" max="4" width="8.88671875" style="1"/>
  </cols>
  <sheetData>
    <row r="1" spans="1:4" x14ac:dyDescent="0.3">
      <c r="A1" t="s">
        <v>0</v>
      </c>
      <c r="B1" s="1" t="s">
        <v>15</v>
      </c>
      <c r="C1" s="1" t="s">
        <v>16</v>
      </c>
      <c r="D1" s="1" t="s">
        <v>17</v>
      </c>
    </row>
    <row r="2" spans="1:4" x14ac:dyDescent="0.3">
      <c r="A2" t="s">
        <v>1</v>
      </c>
      <c r="B2" s="1">
        <v>1</v>
      </c>
      <c r="C2" s="1">
        <v>2</v>
      </c>
      <c r="D2" s="1">
        <v>3</v>
      </c>
    </row>
    <row r="3" spans="1:4" x14ac:dyDescent="0.3">
      <c r="A3" t="s">
        <v>14</v>
      </c>
      <c r="B3" s="1">
        <v>4</v>
      </c>
      <c r="C3" s="1">
        <v>5</v>
      </c>
      <c r="D3" s="1">
        <v>6</v>
      </c>
    </row>
    <row r="4" spans="1:4" x14ac:dyDescent="0.3">
      <c r="A4" t="s">
        <v>22</v>
      </c>
      <c r="B4" s="1">
        <v>7</v>
      </c>
      <c r="C4" s="1">
        <v>8</v>
      </c>
      <c r="D4" s="1">
        <v>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64B9A-33ED-4593-8195-59A643BC941E}">
  <dimension ref="A1:C4"/>
  <sheetViews>
    <sheetView workbookViewId="0">
      <selection activeCell="I22" sqref="I22"/>
    </sheetView>
  </sheetViews>
  <sheetFormatPr defaultRowHeight="14.4" x14ac:dyDescent="0.3"/>
  <sheetData>
    <row r="1" spans="1:3" x14ac:dyDescent="0.3">
      <c r="A1" t="s">
        <v>10</v>
      </c>
      <c r="B1" t="s">
        <v>0</v>
      </c>
      <c r="C1" t="s">
        <v>11</v>
      </c>
    </row>
    <row r="2" spans="1:3" x14ac:dyDescent="0.3">
      <c r="A2" t="s">
        <v>12</v>
      </c>
      <c r="B2" t="s">
        <v>1</v>
      </c>
      <c r="C2">
        <v>1</v>
      </c>
    </row>
    <row r="3" spans="1:3" x14ac:dyDescent="0.3">
      <c r="A3" t="s">
        <v>13</v>
      </c>
      <c r="B3" t="s">
        <v>14</v>
      </c>
      <c r="C3">
        <v>1</v>
      </c>
    </row>
    <row r="4" spans="1:3" x14ac:dyDescent="0.3">
      <c r="A4" t="s">
        <v>23</v>
      </c>
      <c r="B4" t="s">
        <v>22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RecipeTank</vt:lpstr>
      <vt:lpstr>RecipeLid</vt:lpstr>
      <vt:lpstr>RecipeBase</vt:lpstr>
      <vt:lpstr>SKU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Leal</dc:creator>
  <cp:lastModifiedBy>Rafael Leal</cp:lastModifiedBy>
  <dcterms:created xsi:type="dcterms:W3CDTF">2025-11-10T17:16:30Z</dcterms:created>
  <dcterms:modified xsi:type="dcterms:W3CDTF">2025-11-14T20:28:11Z</dcterms:modified>
</cp:coreProperties>
</file>